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8_{05E47B2B-D3C0-4A79-B908-001FC88FA6CA}" xr6:coauthVersionLast="47" xr6:coauthVersionMax="47" xr10:uidLastSave="{00000000-0000-0000-0000-000000000000}"/>
  <bookViews>
    <workbookView xWindow="0" yWindow="0" windowWidth="2388" windowHeight="564" activeTab="1" xr2:uid="{1CEE3F69-3FC2-4E51-AA5E-7F472FA20CCB}"/>
  </bookViews>
  <sheets>
    <sheet name="Sheet1" sheetId="2" r:id="rId1"/>
    <sheet name="Final " sheetId="4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2" l="1"/>
  <c r="B28" i="2"/>
  <c r="B8" i="2"/>
  <c r="B23" i="2"/>
  <c r="B27" i="2"/>
  <c r="G5" i="2"/>
  <c r="E7" i="2" l="1"/>
  <c r="F4" i="2" s="1"/>
  <c r="B21" i="2"/>
  <c r="B16" i="2"/>
  <c r="R13" i="2"/>
  <c r="R14" i="2"/>
  <c r="F6" i="2" l="1"/>
  <c r="F5" i="2"/>
  <c r="F2" i="2"/>
  <c r="F7" i="2" s="1"/>
</calcChain>
</file>

<file path=xl/sharedStrings.xml><?xml version="1.0" encoding="utf-8"?>
<sst xmlns="http://schemas.openxmlformats.org/spreadsheetml/2006/main" count="59" uniqueCount="33">
  <si>
    <t>Deployment &amp; Security</t>
  </si>
  <si>
    <t>Testing &amp; Delivery</t>
  </si>
  <si>
    <t>for saftey</t>
  </si>
  <si>
    <t>Legal &amp; Government (CR)</t>
  </si>
  <si>
    <t>$</t>
  </si>
  <si>
    <t>operational costs</t>
  </si>
  <si>
    <t>One-time costs</t>
  </si>
  <si>
    <t xml:space="preserve">Total </t>
  </si>
  <si>
    <t>Product Development costs</t>
  </si>
  <si>
    <t xml:space="preserve">UI/UX design costs </t>
  </si>
  <si>
    <t xml:space="preserve">Third-party contracts </t>
  </si>
  <si>
    <t>Communitcation costs</t>
  </si>
  <si>
    <t xml:space="preserve">Marketing costs </t>
  </si>
  <si>
    <t>Total for 2 years</t>
  </si>
  <si>
    <t xml:space="preserve">Opreational tools </t>
  </si>
  <si>
    <t>Mantainance costs</t>
  </si>
  <si>
    <t>Product Development Costs</t>
  </si>
  <si>
    <t>Total</t>
  </si>
  <si>
    <t>MVP Core Development</t>
  </si>
  <si>
    <t xml:space="preserve">AI/ML Model Dvelopment </t>
  </si>
  <si>
    <t>Cloud Hosting &amp; Databases</t>
  </si>
  <si>
    <t>Security, Backup &amp; Scaling</t>
  </si>
  <si>
    <t xml:space="preserve">Marketing Costs </t>
  </si>
  <si>
    <t>Digital Ads &amp; Launch Campaigns</t>
  </si>
  <si>
    <t>Opreational Costs</t>
  </si>
  <si>
    <t>Third-Party Tools (CRM, SaaS)</t>
  </si>
  <si>
    <t xml:space="preserve">Team Expansion Costs </t>
  </si>
  <si>
    <t>AI / ML Specialist</t>
  </si>
  <si>
    <t>Project support</t>
  </si>
  <si>
    <t>Marketing Strategy &amp; Branding</t>
  </si>
  <si>
    <t>Event/Partnership Outreach</t>
  </si>
  <si>
    <t>Legal, Compliance &amp; Governance Costs</t>
  </si>
  <si>
    <t>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</si>
</sst>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0" fillId="3" borderId="2" xfId="0" applyFont="1" applyFill="1" applyBorder="1"/>
    <xf numFmtId="0" fontId="2" fillId="2" borderId="1" xfId="0" applyFont="1" applyFill="1" applyBorder="1"/>
    <xf numFmtId="0" fontId="0" fillId="4" borderId="0" xfId="0" applyFill="1"/>
    <xf numFmtId="3" fontId="0" fillId="0" borderId="0" xfId="0" applyNumberFormat="1"/>
    <xf numFmtId="0" fontId="0" fillId="5" borderId="0" xfId="0" applyFill="1"/>
    <xf numFmtId="0" fontId="2" fillId="2" borderId="2" xfId="0" applyFont="1" applyFill="1" applyBorder="1" applyAlignment="1">
      <alignment horizontal="center"/>
    </xf>
    <xf numFmtId="0" fontId="0" fillId="5" borderId="1" xfId="0" applyFont="1" applyFill="1" applyBorder="1"/>
    <xf numFmtId="0" fontId="0" fillId="5" borderId="2" xfId="0" applyFont="1" applyFill="1" applyBorder="1"/>
    <xf numFmtId="0" fontId="2" fillId="2" borderId="0" xfId="0" applyFont="1" applyFill="1" applyBorder="1" applyAlignment="1">
      <alignment horizontal="center"/>
    </xf>
    <xf numFmtId="9" fontId="0" fillId="0" borderId="0" xfId="1" applyFont="1"/>
    <xf numFmtId="9" fontId="0" fillId="0" borderId="0" xfId="0" applyNumberFormat="1"/>
    <xf numFmtId="0" fontId="0" fillId="0" borderId="1" xfId="0" applyFont="1" applyBorder="1"/>
  </cellXfs>
  <cellStyles count="2">
    <cellStyle name="Normal" xfId="0" builtinId="0"/>
    <cellStyle name="Percent" xfId="1" builtinId="5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178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83-4E38-9FEA-1D83F90503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83-4E38-9FEA-1D83F90503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83-4E38-9FEA-1D83F90503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83-4E38-9FEA-1D83F905038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83-4E38-9FEA-1D83F90503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Sheet1!$D$2:$D$6</c:f>
              <c:strCache>
                <c:ptCount val="5"/>
                <c:pt idx="0">
                  <c:v>Product Development Costs</c:v>
                </c:pt>
                <c:pt idx="1">
                  <c:v>Legal, Compliance &amp; Governance Costs</c:v>
                </c:pt>
                <c:pt idx="2">
                  <c:v>Marketing Costs </c:v>
                </c:pt>
                <c:pt idx="3">
                  <c:v>Opreational Costs</c:v>
                </c:pt>
                <c:pt idx="4">
                  <c:v>Team Expansion Costs </c:v>
                </c:pt>
              </c:strCache>
            </c:strRef>
          </c:cat>
          <c:val>
            <c:numRef>
              <c:f>Sheet1!$F$2:$F$6</c:f>
              <c:numCache>
                <c:formatCode>0%</c:formatCode>
                <c:ptCount val="5"/>
                <c:pt idx="0">
                  <c:v>0.35</c:v>
                </c:pt>
                <c:pt idx="1">
                  <c:v>0.06</c:v>
                </c:pt>
                <c:pt idx="2">
                  <c:v>0.12727272727272726</c:v>
                </c:pt>
                <c:pt idx="3">
                  <c:v>0.13181818181818181</c:v>
                </c:pt>
                <c:pt idx="4">
                  <c:v>0.32727272727272727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E-44A7-B378-A999D90DE2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1139190</xdr:colOff>
      <xdr:row>9</xdr:row>
      <xdr:rowOff>121920</xdr:rowOff>
    </xdr:from>
    <xdr:to>
      <xdr:col>7</xdr:col>
      <xdr:colOff>544830</xdr:colOff>
      <xdr:row>25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1A6DE9-1936-48CD-AB3D-5E86FF264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957197-BB29-4B66-B3E4-FCF27115B693}" name="Table1" displayName="Table1" ref="N7:O14" totalsRowShown="0">
  <autoFilter ref="N7:O14" xr:uid="{49957197-BB29-4B66-B3E4-FCF27115B693}"/>
  <tableColumns count="2">
    <tableColumn id="1" xr3:uid="{B28989E5-B119-400A-AF75-B1092E0C09BE}" name="One-time costs"/>
    <tableColumn id="2" xr3:uid="{0981BED8-4C3F-4C73-B611-F21524502D7E}" name="$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90B321-028D-4D21-BAD5-C25389E169FC}" name="Table3" displayName="Table3" ref="Q7:R14" totalsRowShown="0">
  <autoFilter ref="Q7:R14" xr:uid="{4090B321-028D-4D21-BAD5-C25389E169FC}"/>
  <tableColumns count="2">
    <tableColumn id="1" xr3:uid="{99228273-69C2-445B-BDF2-502B0F101B2D}" name="operational costs"/>
    <tableColumn id="2" xr3:uid="{1ABED164-325C-4BBE-B931-7B99FA5C17B7}" name="$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52671A-1991-4D9A-9706-F665F299A241}" name="Table4" displayName="Table4" ref="A1:B8" totalsRowShown="0">
  <autoFilter ref="A1:B8" xr:uid="{C552671A-1991-4D9A-9706-F665F299A241}"/>
  <tableColumns count="2">
    <tableColumn id="1" xr3:uid="{3CA2F7DA-0A63-44EA-BC7E-FBF01D9AA28D}" name="Product Development Costs"/>
    <tableColumn id="2" xr3:uid="{DB7D8F77-B48A-44C5-994D-0AA7B0D6F0F8}" name="$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2EB276-4A0C-443B-B6D5-8C0EFCF7DFAC}" name="Table5" displayName="Table5" ref="A1:A6" totalsRowShown="0">
  <autoFilter ref="A1:A6" xr:uid="{B32EB276-4A0C-443B-B6D5-8C0EFCF7DFAC}"/>
  <tableColumns count="1">
    <tableColumn id="1" xr3:uid="{5CE47575-F13F-4CE4-8BF9-DD9BD18CBA7E}" name="Cos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ACA0-2C2A-47DF-BB06-F39238432FB1}">
  <dimension ref="A1:R28"/>
  <sheetViews>
    <sheetView zoomScale="108" workbookViewId="0">
      <selection activeCell="D24" sqref="D24"/>
    </sheetView>
  </sheetViews>
  <sheetFormatPr defaultRowHeight="13.8"/>
  <cols>
    <col min="1" max="1" width="30.296875" customWidth="1"/>
    <col min="4" max="4" width="36.19921875" bestFit="1" customWidth="1"/>
    <col min="5" max="5" width="14" customWidth="1"/>
    <col min="7" max="7" width="18.5" bestFit="1" customWidth="1"/>
    <col min="14" max="14" width="23.09765625" bestFit="1" customWidth="1"/>
    <col min="17" max="17" width="18.59765625" bestFit="1" customWidth="1"/>
  </cols>
  <sheetData>
    <row r="1" spans="1:18">
      <c r="A1" t="s">
        <v>16</v>
      </c>
      <c r="B1" s="2" t="s">
        <v>4</v>
      </c>
      <c r="D1" t="s">
        <v>32</v>
      </c>
      <c r="E1" t="s">
        <v>17</v>
      </c>
    </row>
    <row r="2" spans="1:18">
      <c r="A2" t="s">
        <v>18</v>
      </c>
      <c r="B2" s="6">
        <v>25000</v>
      </c>
      <c r="D2" s="4" t="s">
        <v>16</v>
      </c>
      <c r="E2">
        <v>38500</v>
      </c>
      <c r="F2" s="12">
        <f>E2/E7</f>
        <v>0.35</v>
      </c>
    </row>
    <row r="3" spans="1:18">
      <c r="A3" s="7" t="s">
        <v>19</v>
      </c>
      <c r="B3" s="7">
        <v>1950</v>
      </c>
      <c r="D3" s="4" t="s">
        <v>31</v>
      </c>
      <c r="E3">
        <v>7000</v>
      </c>
      <c r="F3" s="12">
        <v>0.06</v>
      </c>
    </row>
    <row r="4" spans="1:18">
      <c r="A4" t="s">
        <v>21</v>
      </c>
      <c r="B4" s="6">
        <v>4500</v>
      </c>
      <c r="D4" s="8" t="s">
        <v>22</v>
      </c>
      <c r="E4">
        <v>14000</v>
      </c>
      <c r="F4" s="12">
        <f>E4/E7</f>
        <v>0.12727272727272726</v>
      </c>
    </row>
    <row r="5" spans="1:18">
      <c r="B5" s="6"/>
      <c r="D5" s="8" t="s">
        <v>24</v>
      </c>
      <c r="E5" s="6">
        <v>14500</v>
      </c>
      <c r="F5" s="12">
        <f>E5/E7</f>
        <v>0.13181818181818181</v>
      </c>
      <c r="G5">
        <f>E5/12</f>
        <v>1208.3333333333333</v>
      </c>
    </row>
    <row r="6" spans="1:18">
      <c r="A6" t="s">
        <v>9</v>
      </c>
      <c r="B6" s="3">
        <v>4000</v>
      </c>
      <c r="D6" s="8" t="s">
        <v>26</v>
      </c>
      <c r="E6">
        <v>36000</v>
      </c>
      <c r="F6" s="12">
        <f>E6/E7</f>
        <v>0.32727272727272727</v>
      </c>
      <c r="G6" s="13"/>
    </row>
    <row r="7" spans="1:18">
      <c r="A7" t="s">
        <v>1</v>
      </c>
      <c r="B7" s="3">
        <v>5000</v>
      </c>
      <c r="D7" s="11" t="s">
        <v>7</v>
      </c>
      <c r="E7">
        <f>SUM(E2:E6)</f>
        <v>110000</v>
      </c>
      <c r="F7" s="13">
        <f>SUM(F2:F6)</f>
        <v>0.99636363636363634</v>
      </c>
      <c r="N7" s="1" t="s">
        <v>6</v>
      </c>
      <c r="O7" s="2" t="s">
        <v>4</v>
      </c>
      <c r="Q7" t="s">
        <v>5</v>
      </c>
      <c r="R7" s="2" t="s">
        <v>4</v>
      </c>
    </row>
    <row r="8" spans="1:18">
      <c r="A8" t="s">
        <v>17</v>
      </c>
      <c r="B8" s="6">
        <f>SUM(B4:B7,B2)</f>
        <v>38500</v>
      </c>
      <c r="N8" t="s">
        <v>3</v>
      </c>
      <c r="O8">
        <v>7950</v>
      </c>
      <c r="Q8" t="s">
        <v>10</v>
      </c>
      <c r="R8">
        <v>662.5</v>
      </c>
    </row>
    <row r="9" spans="1:18">
      <c r="N9" t="s">
        <v>8</v>
      </c>
      <c r="O9">
        <v>18550</v>
      </c>
      <c r="Q9" t="s">
        <v>11</v>
      </c>
      <c r="R9">
        <v>39.75</v>
      </c>
    </row>
    <row r="10" spans="1:18">
      <c r="A10" s="4" t="s">
        <v>31</v>
      </c>
      <c r="B10" s="8">
        <v>7000</v>
      </c>
      <c r="N10" t="s">
        <v>9</v>
      </c>
      <c r="O10">
        <v>1590</v>
      </c>
      <c r="Q10" t="s">
        <v>12</v>
      </c>
      <c r="R10">
        <v>530</v>
      </c>
    </row>
    <row r="11" spans="1:18">
      <c r="N11" t="s">
        <v>0</v>
      </c>
      <c r="O11" s="5">
        <v>927.5</v>
      </c>
      <c r="Q11" t="s">
        <v>14</v>
      </c>
      <c r="R11">
        <v>79.5</v>
      </c>
    </row>
    <row r="12" spans="1:18">
      <c r="A12" s="8" t="s">
        <v>22</v>
      </c>
      <c r="B12" s="8" t="s">
        <v>4</v>
      </c>
      <c r="N12" t="s">
        <v>1</v>
      </c>
      <c r="O12">
        <v>662.5</v>
      </c>
      <c r="Q12" t="s">
        <v>15</v>
      </c>
      <c r="R12">
        <v>662.5</v>
      </c>
    </row>
    <row r="13" spans="1:18">
      <c r="A13" t="s">
        <v>29</v>
      </c>
      <c r="B13" s="6">
        <v>5000</v>
      </c>
      <c r="N13" t="s">
        <v>2</v>
      </c>
      <c r="O13">
        <v>5936</v>
      </c>
      <c r="Q13" t="s">
        <v>7</v>
      </c>
      <c r="R13">
        <f>SUM(R8:R12)</f>
        <v>1974.25</v>
      </c>
    </row>
    <row r="14" spans="1:18">
      <c r="A14" t="s">
        <v>23</v>
      </c>
      <c r="B14" s="6">
        <v>6000</v>
      </c>
      <c r="N14" t="s">
        <v>7</v>
      </c>
      <c r="O14">
        <v>35616</v>
      </c>
      <c r="Q14" t="s">
        <v>13</v>
      </c>
      <c r="R14">
        <f>R13*12</f>
        <v>23691</v>
      </c>
    </row>
    <row r="15" spans="1:18">
      <c r="A15" t="s">
        <v>30</v>
      </c>
      <c r="B15" s="6">
        <v>3000</v>
      </c>
    </row>
    <row r="16" spans="1:18">
      <c r="A16" t="s">
        <v>7</v>
      </c>
      <c r="B16" s="6">
        <f>SUM(B13:B15)</f>
        <v>14000</v>
      </c>
    </row>
    <row r="19" spans="1:3">
      <c r="A19" t="s">
        <v>24</v>
      </c>
    </row>
    <row r="20" spans="1:3">
      <c r="A20" s="9" t="s">
        <v>19</v>
      </c>
      <c r="B20" s="10"/>
    </row>
    <row r="21" spans="1:3">
      <c r="A21" t="s">
        <v>25</v>
      </c>
      <c r="B21" s="6">
        <f>1000*12</f>
        <v>12000</v>
      </c>
    </row>
    <row r="22" spans="1:3">
      <c r="A22" s="14" t="s">
        <v>20</v>
      </c>
      <c r="B22" s="6">
        <v>2500</v>
      </c>
    </row>
    <row r="23" spans="1:3">
      <c r="A23" t="s">
        <v>17</v>
      </c>
      <c r="B23" s="6">
        <f>SUM(B21:B22)</f>
        <v>14500</v>
      </c>
    </row>
    <row r="25" spans="1:3">
      <c r="A25" t="s">
        <v>26</v>
      </c>
      <c r="B25" t="s">
        <v>4</v>
      </c>
      <c r="C25" t="s">
        <v>4</v>
      </c>
    </row>
    <row r="26" spans="1:3">
      <c r="A26" t="s">
        <v>27</v>
      </c>
      <c r="B26" s="6">
        <f>2000*12</f>
        <v>24000</v>
      </c>
    </row>
    <row r="27" spans="1:3">
      <c r="A27" t="s">
        <v>28</v>
      </c>
      <c r="B27">
        <f>1000*12</f>
        <v>12000</v>
      </c>
    </row>
    <row r="28" spans="1:3">
      <c r="A28" t="s">
        <v>7</v>
      </c>
      <c r="B28" s="6">
        <f>SUM(B26:B27)</f>
        <v>36000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55A4-CBA5-492D-9CCF-E4A4E4141AD3}">
  <dimension ref="A1:C7"/>
  <sheetViews>
    <sheetView tabSelected="1" workbookViewId="0">
      <selection activeCell="B7" sqref="B7"/>
    </sheetView>
  </sheetViews>
  <sheetFormatPr defaultRowHeight="13.8"/>
  <cols>
    <col min="1" max="1" width="36.19921875" bestFit="1" customWidth="1"/>
    <col min="2" max="2" width="8.59765625" customWidth="1"/>
  </cols>
  <sheetData>
    <row r="1" spans="1:3">
      <c r="A1" t="s">
        <v>32</v>
      </c>
      <c r="B1" t="s">
        <v>17</v>
      </c>
    </row>
    <row r="2" spans="1:3">
      <c r="A2" s="4" t="s">
        <v>16</v>
      </c>
      <c r="B2" s="12">
        <v>0.32500000000000001</v>
      </c>
      <c r="C2" s="12"/>
    </row>
    <row r="3" spans="1:3">
      <c r="A3" s="4" t="s">
        <v>31</v>
      </c>
      <c r="B3" s="12">
        <v>0.06</v>
      </c>
      <c r="C3" s="12"/>
    </row>
    <row r="4" spans="1:3">
      <c r="A4" s="8" t="s">
        <v>22</v>
      </c>
      <c r="B4" s="12">
        <v>0.11666666666666667</v>
      </c>
      <c r="C4" s="12"/>
    </row>
    <row r="5" spans="1:3">
      <c r="A5" s="8" t="s">
        <v>24</v>
      </c>
      <c r="B5" s="12">
        <v>0.2</v>
      </c>
      <c r="C5" s="12"/>
    </row>
    <row r="6" spans="1:3">
      <c r="A6" s="8" t="s">
        <v>26</v>
      </c>
      <c r="B6" s="12">
        <v>0.3</v>
      </c>
      <c r="C6" s="12"/>
    </row>
    <row r="7" spans="1:3">
      <c r="A7" s="11"/>
      <c r="B7" s="12"/>
      <c r="C7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Final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Haider Yaseen Khalil Abdulla Jasim Alsaegh</dc:creator>
  <cp:lastModifiedBy>ASUS</cp:lastModifiedBy>
  <dcterms:created xsi:type="dcterms:W3CDTF">2026-01-17T16:38:28Z</dcterms:created>
  <dcterms:modified xsi:type="dcterms:W3CDTF">2026-02-04T09:42:30Z</dcterms:modified>
</cp:coreProperties>
</file>